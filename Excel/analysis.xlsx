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Set C\"/>
    </mc:Choice>
  </mc:AlternateContent>
  <xr:revisionPtr revIDLastSave="0" documentId="13_ncr:1_{3A7CB5E0-5D27-4C4C-8B9D-2079DE3554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" sheetId="1" r:id="rId1"/>
    <sheet name="Lookup" sheetId="2" r:id="rId2"/>
    <sheet name="Clean" sheetId="3" r:id="rId3"/>
    <sheet name="Summary" sheetId="4" r:id="rId4"/>
    <sheet name="summary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/>
  <c r="E2" i="4"/>
  <c r="G2" i="4"/>
  <c r="E3" i="4"/>
  <c r="F3" i="4"/>
  <c r="G3" i="4"/>
  <c r="B2" i="4"/>
  <c r="G3" i="3"/>
  <c r="G4" i="3"/>
  <c r="G5" i="3"/>
  <c r="G6" i="3"/>
  <c r="G7" i="3"/>
  <c r="G8" i="3"/>
  <c r="G9" i="3"/>
  <c r="G10" i="3"/>
  <c r="G11" i="3"/>
  <c r="G12" i="3"/>
  <c r="G13" i="3"/>
  <c r="G2" i="3"/>
  <c r="H13" i="3"/>
  <c r="H12" i="3"/>
  <c r="H11" i="3"/>
  <c r="H10" i="3"/>
  <c r="H9" i="3"/>
  <c r="H8" i="3"/>
  <c r="H7" i="3"/>
  <c r="H6" i="3"/>
  <c r="H5" i="3"/>
  <c r="B4" i="4" s="1"/>
  <c r="H4" i="3"/>
  <c r="H3" i="3"/>
  <c r="B3" i="4" s="1"/>
  <c r="H2" i="3"/>
</calcChain>
</file>

<file path=xl/sharedStrings.xml><?xml version="1.0" encoding="utf-8"?>
<sst xmlns="http://schemas.openxmlformats.org/spreadsheetml/2006/main" count="122" uniqueCount="35">
  <si>
    <t>assessment_id</t>
  </si>
  <si>
    <t>month</t>
  </si>
  <si>
    <t>course_id</t>
  </si>
  <si>
    <t>batch</t>
  </si>
  <si>
    <t>score</t>
  </si>
  <si>
    <t>attendance_pct</t>
  </si>
  <si>
    <t>Jan</t>
  </si>
  <si>
    <t>C1</t>
  </si>
  <si>
    <t>Morning</t>
  </si>
  <si>
    <t>C2</t>
  </si>
  <si>
    <t>Evening</t>
  </si>
  <si>
    <t>C3</t>
  </si>
  <si>
    <t>C4</t>
  </si>
  <si>
    <t>Weekend</t>
  </si>
  <si>
    <t>Feb</t>
  </si>
  <si>
    <t>Mar</t>
  </si>
  <si>
    <t>course</t>
  </si>
  <si>
    <t>department</t>
  </si>
  <si>
    <t>Excel</t>
  </si>
  <si>
    <t>Business</t>
  </si>
  <si>
    <t>PowerBI</t>
  </si>
  <si>
    <t>SQL</t>
  </si>
  <si>
    <t>Technology</t>
  </si>
  <si>
    <t>Python</t>
  </si>
  <si>
    <t>pass_flag</t>
  </si>
  <si>
    <t>Cleaning Check</t>
  </si>
  <si>
    <t>Count</t>
  </si>
  <si>
    <t>Before Row Count</t>
  </si>
  <si>
    <t>After Row Count</t>
  </si>
  <si>
    <t>Batch</t>
  </si>
  <si>
    <t>Passing Assessments</t>
  </si>
  <si>
    <t>Department</t>
  </si>
  <si>
    <t>Note</t>
  </si>
  <si>
    <t>This is an editable formula-based Pivot-style summary.</t>
  </si>
  <si>
    <t>Months are ordered Jan → Feb → Mar.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</si>
</sst>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IN"/>
              <a:t>Average Score by Department and Month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invertIfNegative val="1"/>
          <c:cat>
            <c:strRef>
              <c:f>Summary!$D$2:$D$3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Summary!$E$2:$E$3</c:f>
              <c:numCache>
                <c:formatCode>0.00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2-4AFE-AB34-862158610345}"/>
            </c:ext>
          </c:extLst>
        </c:ser>
        <c:ser>
          <c:idx val="1"/>
          <c:order val="1"/>
          <c:tx>
            <c:v>Feb</c:v>
          </c:tx>
          <c:invertIfNegative val="1"/>
          <c:cat>
            <c:strRef>
              <c:f>Summary!$D$2:$D$3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Summary!$F$2:$F$3</c:f>
              <c:numCache>
                <c:formatCode>0.00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52-4AFE-AB34-862158610345}"/>
            </c:ext>
          </c:extLst>
        </c:ser>
        <c:ser>
          <c:idx val="2"/>
          <c:order val="2"/>
          <c:tx>
            <c:v>Mar</c:v>
          </c:tx>
          <c:invertIfNegative val="1"/>
          <c:cat>
            <c:strRef>
              <c:f>Summary!$D$2:$D$3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Summary!$G$2:$G$3</c:f>
              <c:numCache>
                <c:formatCode>0.00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52-4AFE-AB34-862158610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Assessments" displayName="RawAssessments" ref="A1:F14" totalsRowShown="0">
  <tableColumns count="6">
    <tableColumn id="1" xr3:uid="{00000000-0010-0000-0000-000001000000}" name="assessment_id"/>
    <tableColumn id="2" xr3:uid="{00000000-0010-0000-0000-000002000000}" name="month"/>
    <tableColumn id="3" xr3:uid="{00000000-0010-0000-0000-000003000000}" name="course_id"/>
    <tableColumn id="4" xr3:uid="{00000000-0010-0000-0000-000004000000}" name="batch"/>
    <tableColumn id="5" xr3:uid="{00000000-0010-0000-0000-000005000000}" name="score"/>
    <tableColumn id="6" xr3:uid="{00000000-0010-0000-0000-000006000000}" name="attendance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ursesLookup" displayName="CoursesLookup" ref="A1:C5" totalsRowShown="0">
  <tableColumns count="3">
    <tableColumn id="1" xr3:uid="{00000000-0010-0000-0100-000001000000}" name="course_id"/>
    <tableColumn id="2" xr3:uid="{00000000-0010-0000-0100-000002000000}" name="course"/>
    <tableColumn id="3" xr3:uid="{00000000-0010-0000-0100-000003000000}" name="depart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eanAssessments" displayName="CleanAssessments" ref="A1:H13" totalsRowShown="0">
  <tableColumns count="8">
    <tableColumn id="1" xr3:uid="{00000000-0010-0000-0200-000001000000}" name="assessment_id"/>
    <tableColumn id="2" xr3:uid="{00000000-0010-0000-0200-000002000000}" name="month"/>
    <tableColumn id="3" xr3:uid="{00000000-0010-0000-0200-000003000000}" name="course_id"/>
    <tableColumn id="4" xr3:uid="{00000000-0010-0000-0200-000004000000}" name="batch"/>
    <tableColumn id="5" xr3:uid="{00000000-0010-0000-0200-000005000000}" name="score"/>
    <tableColumn id="6" xr3:uid="{00000000-0010-0000-0200-000006000000}" name="attendance_pct"/>
    <tableColumn id="7" xr3:uid="{00000000-0010-0000-0200-000007000000}" name="department">
      <calculatedColumnFormula>_xlfn.XLOOKUP(C2,Lookup!$A$2:$A$5,Lookup!$C$2:$C$5)</calculatedColumnFormula>
    </tableColumn>
    <tableColumn id="8" xr3:uid="{00000000-0010-0000-0200-000008000000}" name="pass_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tchPassSummary" displayName="BatchPassSummary" ref="A1:B4" totalsRowShown="0">
  <tableColumns count="2">
    <tableColumn id="1" xr3:uid="{00000000-0010-0000-0300-000001000000}" name="Batch"/>
    <tableColumn id="2" xr3:uid="{00000000-0010-0000-0300-000002000000}" name="Passing Assess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D7" sqref="D7"/>
    </sheetView>
  </sheetViews>
  <sheetFormatPr defaultRowHeight="14.25"/>
  <cols>
    <col min="1" max="6" width="16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</row>
    <row r="2" spans="1:11">
      <c r="A2" s="2">
        <v>1</v>
      </c>
      <c r="B2" s="2" t="s">
        <v>6</v>
      </c>
      <c r="C2" s="2" t="s">
        <v>7</v>
      </c>
      <c r="D2" s="2" t="s">
        <v>8</v>
      </c>
      <c r="E2" s="2">
        <v>72</v>
      </c>
      <c r="F2" s="2">
        <v>90</v>
      </c>
      <c r="G2" s="2"/>
      <c r="H2" s="2"/>
      <c r="I2" s="2"/>
      <c r="J2" s="2"/>
      <c r="K2" s="2"/>
    </row>
    <row r="3" spans="1:11">
      <c r="A3" s="2">
        <v>2</v>
      </c>
      <c r="B3" s="2" t="s">
        <v>6</v>
      </c>
      <c r="C3" s="2" t="s">
        <v>9</v>
      </c>
      <c r="D3" s="2" t="s">
        <v>10</v>
      </c>
      <c r="E3" s="2">
        <v>45</v>
      </c>
      <c r="F3" s="2">
        <v>70</v>
      </c>
      <c r="G3" s="2"/>
      <c r="H3" s="2"/>
      <c r="I3" s="2"/>
      <c r="J3" s="2"/>
      <c r="K3" s="2"/>
    </row>
    <row r="4" spans="1:11">
      <c r="A4" s="2">
        <v>3</v>
      </c>
      <c r="B4" s="2" t="s">
        <v>6</v>
      </c>
      <c r="C4" s="2" t="s">
        <v>11</v>
      </c>
      <c r="D4" s="2" t="s">
        <v>8</v>
      </c>
      <c r="E4" s="2">
        <v>65</v>
      </c>
      <c r="F4" s="2">
        <v>85</v>
      </c>
      <c r="G4" s="2"/>
      <c r="H4" s="2"/>
      <c r="I4" s="2"/>
      <c r="J4" s="2"/>
      <c r="K4" s="2"/>
    </row>
    <row r="5" spans="1:11">
      <c r="A5" s="2">
        <v>4</v>
      </c>
      <c r="B5" s="2" t="s">
        <v>6</v>
      </c>
      <c r="C5" s="2" t="s">
        <v>12</v>
      </c>
      <c r="D5" s="2" t="s">
        <v>13</v>
      </c>
      <c r="E5" s="2">
        <v>38</v>
      </c>
      <c r="F5" s="2">
        <v>60</v>
      </c>
      <c r="G5" s="2"/>
      <c r="H5" s="2"/>
      <c r="I5" s="2"/>
      <c r="J5" s="2"/>
      <c r="K5" s="2"/>
    </row>
    <row r="6" spans="1:11">
      <c r="A6" s="2">
        <v>5</v>
      </c>
      <c r="B6" s="2" t="s">
        <v>14</v>
      </c>
      <c r="C6" s="2" t="s">
        <v>7</v>
      </c>
      <c r="D6" s="2" t="s">
        <v>10</v>
      </c>
      <c r="E6" s="2">
        <v>80</v>
      </c>
      <c r="F6" s="2">
        <v>95</v>
      </c>
      <c r="G6" s="2"/>
      <c r="H6" s="2"/>
      <c r="I6" s="2"/>
      <c r="J6" s="2"/>
      <c r="K6" s="2"/>
    </row>
    <row r="7" spans="1:11">
      <c r="A7" s="2">
        <v>6</v>
      </c>
      <c r="B7" s="2" t="s">
        <v>14</v>
      </c>
      <c r="C7" s="2" t="s">
        <v>9</v>
      </c>
      <c r="D7" s="2" t="s">
        <v>13</v>
      </c>
      <c r="E7" s="2">
        <v>55</v>
      </c>
      <c r="F7" s="2">
        <v>80</v>
      </c>
      <c r="G7" s="2"/>
      <c r="H7" s="2"/>
      <c r="I7" s="2"/>
      <c r="J7" s="2"/>
      <c r="K7" s="2"/>
    </row>
    <row r="8" spans="1:11">
      <c r="A8" s="2">
        <v>7</v>
      </c>
      <c r="B8" s="2" t="s">
        <v>14</v>
      </c>
      <c r="C8" s="2" t="s">
        <v>11</v>
      </c>
      <c r="D8" s="2" t="s">
        <v>8</v>
      </c>
      <c r="E8" s="2">
        <v>48</v>
      </c>
      <c r="F8" s="2">
        <v>75</v>
      </c>
      <c r="G8" s="2"/>
      <c r="H8" s="2"/>
      <c r="I8" s="2"/>
      <c r="J8" s="2"/>
      <c r="K8" s="2"/>
    </row>
    <row r="9" spans="1:11">
      <c r="A9" s="2">
        <v>8</v>
      </c>
      <c r="B9" s="2" t="s">
        <v>14</v>
      </c>
      <c r="C9" s="2" t="s">
        <v>12</v>
      </c>
      <c r="D9" s="2" t="s">
        <v>10</v>
      </c>
      <c r="E9" s="2">
        <v>68</v>
      </c>
      <c r="F9" s="2">
        <v>88</v>
      </c>
      <c r="G9" s="2"/>
      <c r="H9" s="2"/>
      <c r="I9" s="2"/>
      <c r="J9" s="2"/>
      <c r="K9" s="2"/>
    </row>
    <row r="10" spans="1:11">
      <c r="A10" s="2">
        <v>9</v>
      </c>
      <c r="B10" s="2" t="s">
        <v>15</v>
      </c>
      <c r="C10" s="2" t="s">
        <v>7</v>
      </c>
      <c r="D10" s="2" t="s">
        <v>13</v>
      </c>
      <c r="E10" s="2">
        <v>90</v>
      </c>
      <c r="F10" s="2">
        <v>98</v>
      </c>
      <c r="G10" s="2"/>
      <c r="H10" s="2"/>
      <c r="I10" s="2"/>
      <c r="J10" s="2"/>
      <c r="K10" s="2"/>
    </row>
    <row r="11" spans="1:11">
      <c r="A11" s="2">
        <v>10</v>
      </c>
      <c r="B11" s="2" t="s">
        <v>15</v>
      </c>
      <c r="C11" s="2" t="s">
        <v>9</v>
      </c>
      <c r="D11" s="2" t="s">
        <v>8</v>
      </c>
      <c r="E11" s="2">
        <v>60</v>
      </c>
      <c r="F11" s="2">
        <v>82</v>
      </c>
      <c r="G11" s="2"/>
      <c r="H11" s="2"/>
      <c r="I11" s="2"/>
      <c r="J11" s="2"/>
      <c r="K11" s="2"/>
    </row>
    <row r="12" spans="1:11">
      <c r="A12" s="2">
        <v>11</v>
      </c>
      <c r="B12" s="2" t="s">
        <v>15</v>
      </c>
      <c r="C12" s="2" t="s">
        <v>11</v>
      </c>
      <c r="D12" s="2" t="s">
        <v>10</v>
      </c>
      <c r="E12" s="2">
        <v>75</v>
      </c>
      <c r="F12" s="2">
        <v>92</v>
      </c>
      <c r="G12" s="2"/>
      <c r="H12" s="2"/>
      <c r="I12" s="2"/>
      <c r="J12" s="2"/>
      <c r="K12" s="2"/>
    </row>
    <row r="13" spans="1:11">
      <c r="A13" s="2">
        <v>12</v>
      </c>
      <c r="B13" s="2" t="s">
        <v>15</v>
      </c>
      <c r="C13" s="2" t="s">
        <v>12</v>
      </c>
      <c r="D13" s="2" t="s">
        <v>13</v>
      </c>
      <c r="E13" s="2">
        <v>42</v>
      </c>
      <c r="F13" s="2">
        <v>65</v>
      </c>
      <c r="G13" s="2"/>
      <c r="H13" s="2"/>
      <c r="I13" s="2"/>
      <c r="J13" s="2"/>
      <c r="K13" s="2"/>
    </row>
    <row r="14" spans="1:11">
      <c r="A14" s="2">
        <v>12</v>
      </c>
      <c r="B14" s="2" t="s">
        <v>15</v>
      </c>
      <c r="C14" s="2" t="s">
        <v>12</v>
      </c>
      <c r="D14" s="2" t="s">
        <v>13</v>
      </c>
      <c r="E14" s="2">
        <v>42</v>
      </c>
      <c r="F14" s="2">
        <v>65</v>
      </c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selection activeCell="B12" sqref="B12"/>
    </sheetView>
  </sheetViews>
  <sheetFormatPr defaultRowHeight="14.25"/>
  <cols>
    <col min="1" max="3" width="18" customWidth="1"/>
  </cols>
  <sheetData>
    <row r="1" spans="1:11" ht="15">
      <c r="A1" s="1" t="s">
        <v>2</v>
      </c>
      <c r="B1" s="1" t="s">
        <v>16</v>
      </c>
      <c r="C1" s="1" t="s">
        <v>17</v>
      </c>
      <c r="D1" s="2"/>
      <c r="E1" s="2"/>
      <c r="F1" s="2"/>
      <c r="G1" s="2"/>
      <c r="H1" s="2"/>
      <c r="I1" s="2"/>
      <c r="J1" s="2"/>
      <c r="K1" s="2"/>
    </row>
    <row r="2" spans="1:11">
      <c r="A2" s="2" t="s">
        <v>7</v>
      </c>
      <c r="B2" s="2" t="s">
        <v>18</v>
      </c>
      <c r="C2" s="2" t="s">
        <v>19</v>
      </c>
      <c r="D2" s="2"/>
      <c r="E2" s="2"/>
      <c r="F2" s="2"/>
      <c r="G2" s="2"/>
      <c r="H2" s="2"/>
      <c r="I2" s="2"/>
      <c r="J2" s="2"/>
      <c r="K2" s="2"/>
    </row>
    <row r="3" spans="1:11">
      <c r="A3" s="2" t="s">
        <v>9</v>
      </c>
      <c r="B3" s="2" t="s">
        <v>20</v>
      </c>
      <c r="C3" s="2" t="s">
        <v>19</v>
      </c>
      <c r="D3" s="2"/>
      <c r="E3" s="2"/>
      <c r="F3" s="2"/>
      <c r="G3" s="2"/>
      <c r="H3" s="2"/>
      <c r="I3" s="2"/>
      <c r="J3" s="2"/>
      <c r="K3" s="2"/>
    </row>
    <row r="4" spans="1:11">
      <c r="A4" s="2" t="s">
        <v>11</v>
      </c>
      <c r="B4" s="2" t="s">
        <v>21</v>
      </c>
      <c r="C4" s="2" t="s">
        <v>22</v>
      </c>
      <c r="D4" s="2"/>
      <c r="E4" s="2"/>
      <c r="F4" s="2"/>
      <c r="G4" s="2"/>
      <c r="H4" s="2"/>
      <c r="I4" s="2"/>
      <c r="J4" s="2"/>
      <c r="K4" s="2"/>
    </row>
    <row r="5" spans="1:11">
      <c r="A5" s="2" t="s">
        <v>12</v>
      </c>
      <c r="B5" s="2" t="s">
        <v>23</v>
      </c>
      <c r="C5" s="2" t="s">
        <v>22</v>
      </c>
      <c r="D5" s="2"/>
      <c r="E5" s="2"/>
      <c r="F5" s="2"/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topLeftCell="C6" workbookViewId="0">
      <selection activeCell="E12" sqref="E12"/>
    </sheetView>
  </sheetViews>
  <sheetFormatPr defaultRowHeight="14.25"/>
  <cols>
    <col min="1" max="8" width="16" customWidth="1"/>
    <col min="10" max="11" width="20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1" t="s">
        <v>24</v>
      </c>
      <c r="I1" s="2"/>
      <c r="J1" s="1" t="s">
        <v>25</v>
      </c>
      <c r="K1" s="1" t="s">
        <v>26</v>
      </c>
    </row>
    <row r="2" spans="1:11">
      <c r="A2" s="2">
        <v>1</v>
      </c>
      <c r="B2" s="2" t="s">
        <v>6</v>
      </c>
      <c r="C2" s="2" t="s">
        <v>7</v>
      </c>
      <c r="D2" s="2" t="s">
        <v>8</v>
      </c>
      <c r="E2" s="2">
        <v>72</v>
      </c>
      <c r="F2" s="2">
        <v>90</v>
      </c>
      <c r="G2" s="2" t="str">
        <f>_xlfn.XLOOKUP(C2,Lookup!$A$2:$A$5,Lookup!$C$2:$C$5)</f>
        <v>Business</v>
      </c>
      <c r="H2" s="2">
        <f t="shared" ref="H2:H13" si="0">IF(E2&gt;=50,1,0)</f>
        <v>1</v>
      </c>
      <c r="I2" s="2"/>
      <c r="J2" s="2" t="s">
        <v>27</v>
      </c>
      <c r="K2" s="2">
        <v>13</v>
      </c>
    </row>
    <row r="3" spans="1:11">
      <c r="A3" s="2">
        <v>2</v>
      </c>
      <c r="B3" s="2" t="s">
        <v>6</v>
      </c>
      <c r="C3" s="2" t="s">
        <v>9</v>
      </c>
      <c r="D3" s="2" t="s">
        <v>10</v>
      </c>
      <c r="E3" s="2">
        <v>45</v>
      </c>
      <c r="F3" s="2">
        <v>70</v>
      </c>
      <c r="G3" s="2" t="str">
        <f>_xlfn.XLOOKUP(C3,Lookup!$A$2:$A$5,Lookup!$C$2:$C$5)</f>
        <v>Business</v>
      </c>
      <c r="H3" s="2">
        <f t="shared" si="0"/>
        <v>0</v>
      </c>
      <c r="I3" s="2"/>
      <c r="J3" s="2" t="s">
        <v>28</v>
      </c>
      <c r="K3" s="2">
        <v>12</v>
      </c>
    </row>
    <row r="4" spans="1:11">
      <c r="A4" s="2">
        <v>3</v>
      </c>
      <c r="B4" s="2" t="s">
        <v>6</v>
      </c>
      <c r="C4" s="2" t="s">
        <v>11</v>
      </c>
      <c r="D4" s="2" t="s">
        <v>8</v>
      </c>
      <c r="E4" s="2">
        <v>65</v>
      </c>
      <c r="F4" s="2">
        <v>85</v>
      </c>
      <c r="G4" s="2" t="str">
        <f>_xlfn.XLOOKUP(C4,Lookup!$A$2:$A$5,Lookup!$C$2:$C$5)</f>
        <v>Technology</v>
      </c>
      <c r="H4" s="2">
        <f t="shared" si="0"/>
        <v>1</v>
      </c>
      <c r="I4" s="2"/>
      <c r="J4" s="2"/>
      <c r="K4" s="2"/>
    </row>
    <row r="5" spans="1:11">
      <c r="A5" s="2">
        <v>4</v>
      </c>
      <c r="B5" s="2" t="s">
        <v>6</v>
      </c>
      <c r="C5" s="2" t="s">
        <v>12</v>
      </c>
      <c r="D5" s="2" t="s">
        <v>13</v>
      </c>
      <c r="E5" s="2">
        <v>38</v>
      </c>
      <c r="F5" s="2">
        <v>60</v>
      </c>
      <c r="G5" s="2" t="str">
        <f>_xlfn.XLOOKUP(C5,Lookup!$A$2:$A$5,Lookup!$C$2:$C$5)</f>
        <v>Technology</v>
      </c>
      <c r="H5" s="2">
        <f t="shared" si="0"/>
        <v>0</v>
      </c>
      <c r="I5" s="2"/>
      <c r="J5" s="2"/>
      <c r="K5" s="2"/>
    </row>
    <row r="6" spans="1:11">
      <c r="A6" s="2">
        <v>5</v>
      </c>
      <c r="B6" s="2" t="s">
        <v>14</v>
      </c>
      <c r="C6" s="2" t="s">
        <v>7</v>
      </c>
      <c r="D6" s="2" t="s">
        <v>10</v>
      </c>
      <c r="E6" s="2">
        <v>80</v>
      </c>
      <c r="F6" s="2">
        <v>95</v>
      </c>
      <c r="G6" s="2" t="str">
        <f>_xlfn.XLOOKUP(C6,Lookup!$A$2:$A$5,Lookup!$C$2:$C$5)</f>
        <v>Business</v>
      </c>
      <c r="H6" s="2">
        <f t="shared" si="0"/>
        <v>1</v>
      </c>
      <c r="I6" s="2"/>
      <c r="J6" s="2"/>
      <c r="K6" s="2"/>
    </row>
    <row r="7" spans="1:11">
      <c r="A7" s="2">
        <v>6</v>
      </c>
      <c r="B7" s="2" t="s">
        <v>14</v>
      </c>
      <c r="C7" s="2" t="s">
        <v>9</v>
      </c>
      <c r="D7" s="2" t="s">
        <v>13</v>
      </c>
      <c r="E7" s="2">
        <v>55</v>
      </c>
      <c r="F7" s="2">
        <v>80</v>
      </c>
      <c r="G7" s="2" t="str">
        <f>_xlfn.XLOOKUP(C7,Lookup!$A$2:$A$5,Lookup!$C$2:$C$5)</f>
        <v>Business</v>
      </c>
      <c r="H7" s="2">
        <f t="shared" si="0"/>
        <v>1</v>
      </c>
      <c r="I7" s="2"/>
      <c r="J7" s="2"/>
      <c r="K7" s="2"/>
    </row>
    <row r="8" spans="1:11">
      <c r="A8" s="2">
        <v>7</v>
      </c>
      <c r="B8" s="2" t="s">
        <v>14</v>
      </c>
      <c r="C8" s="2" t="s">
        <v>11</v>
      </c>
      <c r="D8" s="2" t="s">
        <v>8</v>
      </c>
      <c r="E8" s="2">
        <v>48</v>
      </c>
      <c r="F8" s="2">
        <v>75</v>
      </c>
      <c r="G8" s="2" t="str">
        <f>_xlfn.XLOOKUP(C8,Lookup!$A$2:$A$5,Lookup!$C$2:$C$5)</f>
        <v>Technology</v>
      </c>
      <c r="H8" s="2">
        <f t="shared" si="0"/>
        <v>0</v>
      </c>
      <c r="I8" s="2"/>
      <c r="J8" s="2"/>
      <c r="K8" s="2"/>
    </row>
    <row r="9" spans="1:11">
      <c r="A9" s="2">
        <v>8</v>
      </c>
      <c r="B9" s="2" t="s">
        <v>14</v>
      </c>
      <c r="C9" s="2" t="s">
        <v>12</v>
      </c>
      <c r="D9" s="2" t="s">
        <v>10</v>
      </c>
      <c r="E9" s="2">
        <v>68</v>
      </c>
      <c r="F9" s="2">
        <v>88</v>
      </c>
      <c r="G9" s="2" t="str">
        <f>_xlfn.XLOOKUP(C9,Lookup!$A$2:$A$5,Lookup!$C$2:$C$5)</f>
        <v>Technology</v>
      </c>
      <c r="H9" s="2">
        <f t="shared" si="0"/>
        <v>1</v>
      </c>
      <c r="I9" s="2"/>
      <c r="J9" s="2"/>
      <c r="K9" s="2"/>
    </row>
    <row r="10" spans="1:11">
      <c r="A10" s="2">
        <v>9</v>
      </c>
      <c r="B10" s="2" t="s">
        <v>15</v>
      </c>
      <c r="C10" s="2" t="s">
        <v>7</v>
      </c>
      <c r="D10" s="2" t="s">
        <v>13</v>
      </c>
      <c r="E10" s="2">
        <v>90</v>
      </c>
      <c r="F10" s="2">
        <v>98</v>
      </c>
      <c r="G10" s="2" t="str">
        <f>_xlfn.XLOOKUP(C10,Lookup!$A$2:$A$5,Lookup!$C$2:$C$5)</f>
        <v>Business</v>
      </c>
      <c r="H10" s="2">
        <f t="shared" si="0"/>
        <v>1</v>
      </c>
      <c r="I10" s="2"/>
      <c r="J10" s="2"/>
      <c r="K10" s="2"/>
    </row>
    <row r="11" spans="1:11">
      <c r="A11" s="2">
        <v>10</v>
      </c>
      <c r="B11" s="2" t="s">
        <v>15</v>
      </c>
      <c r="C11" s="2" t="s">
        <v>9</v>
      </c>
      <c r="D11" s="2" t="s">
        <v>8</v>
      </c>
      <c r="E11" s="2">
        <v>60</v>
      </c>
      <c r="F11" s="2">
        <v>82</v>
      </c>
      <c r="G11" s="2" t="str">
        <f>_xlfn.XLOOKUP(C11,Lookup!$A$2:$A$5,Lookup!$C$2:$C$5)</f>
        <v>Business</v>
      </c>
      <c r="H11" s="2">
        <f t="shared" si="0"/>
        <v>1</v>
      </c>
      <c r="I11" s="2"/>
      <c r="J11" s="2"/>
      <c r="K11" s="2"/>
    </row>
    <row r="12" spans="1:11">
      <c r="A12" s="2">
        <v>11</v>
      </c>
      <c r="B12" s="2" t="s">
        <v>15</v>
      </c>
      <c r="C12" s="2" t="s">
        <v>11</v>
      </c>
      <c r="D12" s="2" t="s">
        <v>10</v>
      </c>
      <c r="E12" s="2">
        <v>75</v>
      </c>
      <c r="F12" s="2">
        <v>92</v>
      </c>
      <c r="G12" s="2" t="str">
        <f>_xlfn.XLOOKUP(C12,Lookup!$A$2:$A$5,Lookup!$C$2:$C$5)</f>
        <v>Technology</v>
      </c>
      <c r="H12" s="2">
        <f t="shared" si="0"/>
        <v>1</v>
      </c>
      <c r="I12" s="2"/>
      <c r="J12" s="2"/>
      <c r="K12" s="2"/>
    </row>
    <row r="13" spans="1:11">
      <c r="A13" s="2">
        <v>12</v>
      </c>
      <c r="B13" s="2" t="s">
        <v>15</v>
      </c>
      <c r="C13" s="2" t="s">
        <v>12</v>
      </c>
      <c r="D13" s="2" t="s">
        <v>13</v>
      </c>
      <c r="E13" s="2">
        <v>42</v>
      </c>
      <c r="F13" s="2">
        <v>65</v>
      </c>
      <c r="G13" s="2" t="str">
        <f>_xlfn.XLOOKUP(C13,Lookup!$A$2:$A$5,Lookup!$C$2:$C$5)</f>
        <v>Technology</v>
      </c>
      <c r="H13" s="2">
        <f t="shared" si="0"/>
        <v>0</v>
      </c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workbookViewId="0">
      <selection activeCell="B7" sqref="B7"/>
    </sheetView>
  </sheetViews>
  <sheetFormatPr defaultRowHeight="14.25"/>
  <cols>
    <col min="1" max="2" width="22" customWidth="1"/>
    <col min="4" max="7" width="18" customWidth="1"/>
  </cols>
  <sheetData>
    <row r="1" spans="1:11" ht="15">
      <c r="A1" s="1" t="s">
        <v>29</v>
      </c>
      <c r="B1" s="1" t="s">
        <v>30</v>
      </c>
      <c r="C1" s="2"/>
      <c r="D1" s="1" t="s">
        <v>31</v>
      </c>
      <c r="E1" s="1" t="s">
        <v>6</v>
      </c>
      <c r="F1" s="1" t="s">
        <v>14</v>
      </c>
      <c r="G1" s="1" t="s">
        <v>15</v>
      </c>
      <c r="H1" s="2"/>
      <c r="I1" s="2"/>
      <c r="J1" s="2"/>
      <c r="K1" s="2"/>
    </row>
    <row r="2" spans="1:11">
      <c r="A2" s="2" t="s">
        <v>8</v>
      </c>
      <c r="B2" s="2">
        <f>COUNTIFS(Clean!$D$2:$D$13,A2,Clean!$H$2:$H$13,1)</f>
        <v>3</v>
      </c>
      <c r="C2" s="2"/>
      <c r="D2" s="2" t="s">
        <v>19</v>
      </c>
      <c r="E2" s="3">
        <f>IFERROR(SUMIFS(Clean!$E$2:$E$13,Clean!$G$2:$G$13,$D2,Clean!$B$2:$B$13,E$1)/COUNTIFS(Clean!$G$2:$G$13,$D2,Clean!$B$2:$B$13,E$1),0)</f>
        <v>58.5</v>
      </c>
      <c r="F2" s="3">
        <f>IFERROR(SUMIFS(Clean!$E$2:$E$13,Clean!$G$2:$G$13,$D2,Clean!$B$2:$B$13,F$1)/COUNTIFS(Clean!$G$2:$G$13,$D2,Clean!$B$2:$B$13,F$1),0)</f>
        <v>67.5</v>
      </c>
      <c r="G2" s="3">
        <f>IFERROR(SUMIFS(Clean!$E$2:$E$13,Clean!$G$2:$G$13,$D2,Clean!$B$2:$B$13,G$1)/COUNTIFS(Clean!$G$2:$G$13,$D2,Clean!$B$2:$B$13,G$1),0)</f>
        <v>75</v>
      </c>
      <c r="H2" s="2"/>
      <c r="I2" s="2"/>
      <c r="J2" s="2"/>
      <c r="K2" s="2"/>
    </row>
    <row r="3" spans="1:11">
      <c r="A3" s="2" t="s">
        <v>10</v>
      </c>
      <c r="B3" s="2">
        <f>COUNTIFS(Clean!$D$2:$D$13,A3,Clean!$H$2:$H$13,1)</f>
        <v>3</v>
      </c>
      <c r="C3" s="2"/>
      <c r="D3" s="2" t="s">
        <v>22</v>
      </c>
      <c r="E3" s="3">
        <f>IFERROR(SUMIFS(Clean!$E$2:$E$13,Clean!$G$2:$G$13,$D3,Clean!$B$2:$B$13,E$1)/COUNTIFS(Clean!$G$2:$G$13,$D3,Clean!$B$2:$B$13,E$1),0)</f>
        <v>51.5</v>
      </c>
      <c r="F3" s="3">
        <f>IFERROR(SUMIFS(Clean!$E$2:$E$13,Clean!$G$2:$G$13,$D3,Clean!$B$2:$B$13,F$1)/COUNTIFS(Clean!$G$2:$G$13,$D3,Clean!$B$2:$B$13,F$1),0)</f>
        <v>58</v>
      </c>
      <c r="G3" s="3">
        <f>IFERROR(SUMIFS(Clean!$E$2:$E$13,Clean!$G$2:$G$13,$D3,Clean!$B$2:$B$13,G$1)/COUNTIFS(Clean!$G$2:$G$13,$D3,Clean!$B$2:$B$13,G$1),0)</f>
        <v>58.5</v>
      </c>
      <c r="H3" s="2"/>
      <c r="I3" s="2"/>
      <c r="J3" s="2"/>
      <c r="K3" s="2"/>
    </row>
    <row r="4" spans="1:11">
      <c r="A4" s="2" t="s">
        <v>13</v>
      </c>
      <c r="B4" s="2">
        <f>COUNTIFS(Clean!$D$2:$D$13,A4,Clean!$H$2:$H$13,1)</f>
        <v>2</v>
      </c>
      <c r="C4" s="2"/>
      <c r="D4" s="2"/>
      <c r="E4" s="2"/>
      <c r="F4" s="2"/>
      <c r="G4" s="2"/>
      <c r="H4" s="2"/>
      <c r="I4" s="2"/>
      <c r="J4" s="2"/>
      <c r="K4" s="2"/>
    </row>
    <row r="5" spans="1:11" ht="42.75">
      <c r="A5" s="2"/>
      <c r="B5" s="2"/>
      <c r="C5" s="2"/>
      <c r="D5" s="2" t="s">
        <v>32</v>
      </c>
      <c r="E5" s="2" t="s">
        <v>33</v>
      </c>
      <c r="F5" s="2" t="s">
        <v>34</v>
      </c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11CA-0BCF-4F99-8929-FBED30E676FA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Lookup</vt:lpstr>
      <vt:lpstr>Clean</vt:lpstr>
      <vt:lpstr>Summary</vt:lpstr>
      <vt:lpstr>summary1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patelsm2180@gmail.com</cp:lastModifiedBy>
  <dcterms:created xsi:type="dcterms:W3CDTF">2026-09-26T09:44:18Z</dcterms:created>
  <dcterms:modified xsi:type="dcterms:W3CDTF">2026-09-26T11:05:35Z</dcterms:modified>
</cp:coreProperties>
</file>